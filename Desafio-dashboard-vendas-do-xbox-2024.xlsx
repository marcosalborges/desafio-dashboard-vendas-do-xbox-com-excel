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d458b0d9315047/Estudo Python/Excel/"/>
    </mc:Choice>
  </mc:AlternateContent>
  <xr:revisionPtr revIDLastSave="387" documentId="13_ncr:1_{3C2F8ED6-40B2-4E08-832A-7140AC03FA60}" xr6:coauthVersionLast="47" xr6:coauthVersionMax="47" xr10:uidLastSave="{DB699AC4-B6C6-489E-AE56-67722DEA406A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<sst xmlns="http://schemas.openxmlformats.org/spreadsheetml/2006/main" count="2022" uniqueCount="324">
  <si>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</si>
  <si>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</si>
  <si>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</si>
  <si>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</si>
  <si>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</si>
  <si>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</si>
  <si>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</si>
  <si>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</si>
  <si>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</si>
  <si>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</si>
  <si>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</si>
  <si>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</si>
  <si>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</si>
  <si>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</si>
  <si>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</si>
  <si>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</si>
  <si>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</si>
  <si>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</si>
  <si>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</si>
  <si>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</si>
  <si>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</si>
  <si>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</si>
  <si>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</si>
  <si>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</si>
  <si>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</si>
  <si>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</si>
  <si>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</si>
  <si>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</si>
  <si>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</si>
  <si>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</si>
  <si>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</si>
  <si>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</si>
  <si>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</si>
  <si>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</si>
  <si>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</si>
  <si>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</si>
  <si>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</si>
  <si>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</si>
  <si>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</si>
  <si>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</si>
  <si>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</si>
  <si>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</si>
  <si>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</si>
  <si>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</si>
  <si>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</si>
  <si>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</si>
  <si>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</si>
  <si>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</si>
  <si>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</si>
  <si>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</si>
  <si>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</si>
  <si>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</si>
  <si>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</si>
  <si>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</si>
  <si>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</si>
  <si>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</si>
  <si>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</si>
  <si>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</si>
  <si>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</si>
  <si>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</si>
  <si>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</si>
  <si>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</si>
  <si>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</si>
  <si>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</si>
  <si>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</si>
  <si>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</si>
  <si>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</si>
  <si>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</si>
  <si>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</si>
  <si>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</si>
  <si>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</si>
  <si>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</si>
  <si>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</si>
  <si>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</si>
  <si>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</si>
  <si>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</si>
  <si>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</si>
  <si>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</si>
  <si>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</si>
  <si>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</si>
  <si>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</si>
  <si>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</si>
  <si>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</si>
  <si>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</si>
  <si>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</si>
  <si>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</si>
  <si>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</si>
  <si>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</si>
  <si>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</si>
  <si>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</si>
  <si>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</si>
  <si>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</si>
  <si>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</si>
  <si>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</si>
  <si>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</si>
  <si>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</si>
  <si>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</si>
  <si>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</si>
  <si>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</si>
  <si>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</si>
  <si>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</si>
  <si>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</si>
  <si>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</si>
  <si>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</si>
  <si>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</si>
  <si>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</si>
  <si>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</si>
  <si>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</si>
  <si>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</si>
  <si>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</si>
  <si>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</si>
  <si>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</si>
  <si>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</si>
  <si>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</si>
  <si>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</si>
  <si>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</si>
  <si>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</si>
  <si>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</si>
  <si>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</si>
  <si>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</si>
  <si>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</si>
  <si>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</si>
  <si>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</si>
  <si>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</si>
  <si>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</si>
  <si>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</si>
  <si>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</si>
  <si>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</si>
  <si>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</si>
  <si>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</si>
  <si>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</si>
  <si>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</si>
  <si>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</si>
  <si>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</si>
  <si>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</si>
  <si>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</si>
  <si>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</si>
  <si>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</si>
  <si>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</si>
  <si>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</si>
  <si>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</si>
  <si>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</si>
  <si>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</si>
  <si>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</si>
  <si>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</si>
  <si>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</si>
  <si>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</si>
  <si>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</si>
  <si>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</si>
  <si>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</si>
  <si>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</si>
  <si>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</si>
  <si>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</si>
  <si>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</si>
  <si>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</si>
  <si>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</si>
  <si>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</si>
  <si>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</si>
  <si>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</si>
  <si>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</si>
  <si>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</si>
  <si>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</si>
  <si>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</si>
  <si>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</si>
  <si>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</si>
  <si>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</si>
  <si>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</si>
  <si>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</si>
  <si>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</si>
  <si>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</si>
  <si>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</si>
  <si>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</si>
  <si>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</si>
  <si>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</si>
  <si>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</si>
  <si>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</si>
  <si>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</si>
  <si>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</si>
  <si>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</si>
  <si>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</si>
  <si>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</si>
  <si>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</si>
  <si>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</si>
  <si>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</si>
  <si>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</si>
  <si>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</si>
  <si>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</si>
  <si>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</si>
  <si>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</si>
  <si>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</si>
  <si>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</si>
  <si>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</si>
  <si>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</si>
  <si>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</si>
  <si>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</si>
  <si>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</si>
  <si>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</si>
  <si>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</si>
  <si>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</si>
  <si>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</si>
  <si>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</si>
  <si>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</si>
  <si>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</si>
  <si>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</si>
  <si>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</si>
  <si>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</si>
  <si>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</si>
  <si>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</si>
  <si>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</si>
  <si>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</si>
  <si>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</si>
  <si>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</si>
  <si>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</si>
  <si>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</si>
  <si>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</si>
  <si>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</si>
  <si>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</si>
  <si>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</si>
  <si>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</si>
  <si>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</si>
  <si>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</si>
  <si>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</si>
  <si>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</si>
  <si>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</si>
  <si>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</si>
  <si>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</si>
  <si>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</si>
  <si>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</si>
  <si>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</si>
  <si>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</si>
  <si>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</si>
  <si>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</si>
  <si>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</si>
  <si>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</si>
  <si>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</si>
  <si>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</si>
  <si>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</si>
  <si>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</si>
  <si>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</si>
  <si>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</si>
  <si>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</si>
  <si>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</si>
  <si>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</si>
  <si>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</si>
  <si>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</si>
  <si>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</si>
  <si>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</si>
  <si>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</si>
  <si>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</si>
  <si>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</si>
  <si>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</si>
  <si>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</si>
  <si>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</si>
  <si>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</si>
  <si>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</si>
  <si>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</si>
  <si>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</si>
  <si>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</si>
  <si>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</si>
  <si>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</si>
  <si>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</si>
  <si>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</si>
  <si>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</si>
  <si>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</si>
  <si>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</si>
  <si>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</si>
  <si>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</si>
  <si>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</si>
  <si>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</si>
  <si>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</si>
  <si>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</si>
  <si>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</si>
  <si>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</si>
  <si>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</si>
  <si>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</si>
  <si>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</si>
  <si>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</si>
  <si>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</si>
  <si>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</si>
  <si>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</si>
  <si>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</si>
  <si>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</si>
  <si>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</si>
  <si>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</si>
  <si>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</si>
  <si>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</si>
  <si>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</si>
  <si>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</si>
  <si>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</si>
  <si>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</si>
  <si>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</si>
  <si>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</si>
  <si>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</si>
  <si>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</si>
  <si>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</si>
  <si>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</si>
  <si>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</si>
  <si>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</si>
  <si>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</si>
  <si>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</si>
  <si>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</si>
  <si>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</si>
  <si>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</si>
  <si>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</si>
  <si>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</si>
  <si>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</si>
  <si>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</si>
  <si>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</si>
  <si>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</si>
  <si>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</si>
  <si>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</si>
  <si>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</si>
  <si>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</si>
  <si>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 </t>
  </si>
  <si>
    <t>Rótulos de Linha</t>
  </si>
  <si>
    <t>Total Geral</t>
  </si>
  <si>
    <t>Soma de Total Value</t>
  </si>
  <si>
    <t>Pergunta de negócio 1 - Qual Faturamento Total de Vendas de planos anuais (contendo todas as assinaturas agregadas)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</si>
  <si>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renovação?</t>
    </r>
  </si>
  <si>
    <t>XBOX GAME PASS SUBSCRIPTIONS SALES</t>
  </si>
  <si>
    <t>Soma de EA Play Season Pass</t>
  </si>
  <si>
    <t>Soma de Minecraft Season Pass Price</t>
  </si>
  <si>
    <t>Pergunta de negócio 4 - Total de vendas do Minecraft Season Pass</t>
  </si>
  <si>
    <t>Pergunta de negócio 3 - Total de vendas do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</si>
</sst>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readingOrder="1"/>
    </xf>
    <xf numFmtId="0" fontId="1" fillId="0" borderId="2" xfId="1" applyBorder="1"/>
    <xf numFmtId="44" fontId="0" fillId="0" borderId="0" xfId="2" applyFont="1"/>
    <xf numFmtId="0" fontId="4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85BF673-C774-4976-95FE-620347E1AFF0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[Desafio-dashboard-vendas-do-xbox-2024.xlsx]C̳álculos!tbl_annual_total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2165964792486174E-2"/>
          <c:y val="0.14270884419444918"/>
          <c:w val="0.86039893582545923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B-4C1E-822D-C5C82C51824C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6B-4C1E-822D-C5C82C518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6B-4C1E-822D-C5C82C518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955184"/>
        <c:axId val="138965744"/>
      </c:barChart>
      <c:catAx>
        <c:axId val="13895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65744"/>
        <c:crosses val="autoZero"/>
        <c:auto val="1"/>
        <c:lblAlgn val="ctr"/>
        <c:lblOffset val="100"/>
        <c:noMultiLvlLbl val="0"/>
      </c:catAx>
      <c:valAx>
        <c:axId val="1389657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895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79116</xdr:colOff>
      <xdr:row>0</xdr:row>
      <xdr:rowOff>0</xdr:rowOff>
    </xdr:from>
    <xdr:to>
      <xdr:col>3</xdr:col>
      <xdr:colOff>14008</xdr:colOff>
      <xdr:row>3</xdr:row>
      <xdr:rowOff>2532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30F99B-8856-45DA-A11A-4EA80CFC7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15" t="19138" r="71892" b="20721"/>
        <a:stretch>
          <a:fillRect/>
        </a:stretch>
      </xdr:blipFill>
      <xdr:spPr>
        <a:xfrm>
          <a:off x="1956101" y="0"/>
          <a:ext cx="789341" cy="800951"/>
        </a:xfrm>
        <a:prstGeom prst="rect">
          <a:avLst/>
        </a:prstGeom>
      </xdr:spPr>
    </xdr:pic>
    <xdr:clientData/>
  </xdr:twoCellAnchor>
  <xdr:twoCellAnchor editAs="oneCell">
    <xdr:from>
      <xdr:col>0</xdr:col>
      <xdr:colOff>12663</xdr:colOff>
      <xdr:row>8</xdr:row>
      <xdr:rowOff>17819</xdr:rowOff>
    </xdr:from>
    <xdr:to>
      <xdr:col>0</xdr:col>
      <xdr:colOff>1826223</xdr:colOff>
      <xdr:row>15</xdr:row>
      <xdr:rowOff>6276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57CB696-129B-446E-8261-E0161E036F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8" y="1698029"/>
              <a:ext cx="1815465" cy="1327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104705</xdr:colOff>
      <xdr:row>5</xdr:row>
      <xdr:rowOff>92790</xdr:rowOff>
    </xdr:from>
    <xdr:to>
      <xdr:col>8</xdr:col>
      <xdr:colOff>449986</xdr:colOff>
      <xdr:row>10</xdr:row>
      <xdr:rowOff>142834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FF665A1-33A5-0FA2-E92D-EA7D03C0A691}"/>
            </a:ext>
          </a:extLst>
        </xdr:cNvPr>
        <xdr:cNvGrpSpPr/>
      </xdr:nvGrpSpPr>
      <xdr:grpSpPr>
        <a:xfrm>
          <a:off x="1984857" y="1094986"/>
          <a:ext cx="4262955" cy="1110218"/>
          <a:chOff x="1988343" y="991553"/>
          <a:chExt cx="4226719" cy="1102042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2D3F35A-A806-0260-85D0-96759AADC7C9}"/>
              </a:ext>
            </a:extLst>
          </xdr:cNvPr>
          <xdr:cNvSpPr/>
        </xdr:nvSpPr>
        <xdr:spPr>
          <a:xfrm>
            <a:off x="1997154" y="1001792"/>
            <a:ext cx="4216718" cy="1091803"/>
          </a:xfrm>
          <a:prstGeom prst="roundRect">
            <a:avLst>
              <a:gd name="adj" fmla="val 449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D9DC8E4-4A4B-462C-844E-5F32E780F485}"/>
              </a:ext>
            </a:extLst>
          </xdr:cNvPr>
          <xdr:cNvSpPr/>
        </xdr:nvSpPr>
        <xdr:spPr>
          <a:xfrm>
            <a:off x="3246358" y="1283256"/>
            <a:ext cx="2879884" cy="724614"/>
          </a:xfrm>
          <a:prstGeom prst="roundRect">
            <a:avLst>
              <a:gd name="adj" fmla="val 449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ACC4D92-FF1A-49D1-8F70-447F84A742E7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D24DC49A-874D-4D02-A7F0-F1C2C5154F1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4780" b="23625"/>
          <a:stretch>
            <a:fillRect/>
          </a:stretch>
        </xdr:blipFill>
        <xdr:spPr>
          <a:xfrm>
            <a:off x="2153364" y="1338019"/>
            <a:ext cx="1220153" cy="629171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50D6EE1F-B696-8E48-1EC1-6E44E0CF376D}"/>
              </a:ext>
            </a:extLst>
          </xdr:cNvPr>
          <xdr:cNvSpPr/>
        </xdr:nvSpPr>
        <xdr:spPr>
          <a:xfrm>
            <a:off x="1988343" y="991553"/>
            <a:ext cx="4226719" cy="3002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490256</xdr:colOff>
      <xdr:row>5</xdr:row>
      <xdr:rowOff>92790</xdr:rowOff>
    </xdr:from>
    <xdr:to>
      <xdr:col>17</xdr:col>
      <xdr:colOff>23110</xdr:colOff>
      <xdr:row>10</xdr:row>
      <xdr:rowOff>168088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CFD8AE4-A29F-D509-6B29-1B62DD27DA26}"/>
            </a:ext>
          </a:extLst>
        </xdr:cNvPr>
        <xdr:cNvGrpSpPr/>
      </xdr:nvGrpSpPr>
      <xdr:grpSpPr>
        <a:xfrm>
          <a:off x="6900995" y="1094986"/>
          <a:ext cx="4262224" cy="1135472"/>
          <a:chOff x="6611470" y="1064559"/>
          <a:chExt cx="4281347" cy="1128610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F25CA40B-A144-76F7-199A-D76C0684D15F}"/>
              </a:ext>
            </a:extLst>
          </xdr:cNvPr>
          <xdr:cNvSpPr/>
        </xdr:nvSpPr>
        <xdr:spPr>
          <a:xfrm>
            <a:off x="6620395" y="1075045"/>
            <a:ext cx="4271217" cy="1118124"/>
          </a:xfrm>
          <a:prstGeom prst="roundRect">
            <a:avLst>
              <a:gd name="adj" fmla="val 449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4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3DFBD0E3-F1FF-03EF-E923-65ABBE49F7E4}"/>
              </a:ext>
            </a:extLst>
          </xdr:cNvPr>
          <xdr:cNvSpPr/>
        </xdr:nvSpPr>
        <xdr:spPr>
          <a:xfrm>
            <a:off x="7885744" y="1363294"/>
            <a:ext cx="2917105" cy="742083"/>
          </a:xfrm>
          <a:prstGeom prst="roundRect">
            <a:avLst>
              <a:gd name="adj" fmla="val 449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6552C60-BA78-4187-A730-BE24CFEC55FA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R$ 1.140,00 </a:t>
            </a:fld>
            <a:endParaRPr lang="pt-BR" sz="88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3C4753EA-DA39-2CE9-11F9-40FAA8B9526F}"/>
              </a:ext>
            </a:extLst>
          </xdr:cNvPr>
          <xdr:cNvSpPr/>
        </xdr:nvSpPr>
        <xdr:spPr>
          <a:xfrm>
            <a:off x="6611470" y="1064559"/>
            <a:ext cx="4281347" cy="30751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650136EE-89B2-4EFC-9D36-93F0486F692D}"/>
              </a:ext>
            </a:extLst>
          </xdr:cNvPr>
          <xdr:cNvGrpSpPr/>
        </xdr:nvGrpSpPr>
        <xdr:grpSpPr>
          <a:xfrm>
            <a:off x="6737538" y="1442758"/>
            <a:ext cx="1218638" cy="644337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F5C3FA72-D095-07DF-E6BD-8DB8FC948B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8539F0CB-9842-B760-52C1-A8E7EFBA9C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99699</xdr:colOff>
      <xdr:row>12</xdr:row>
      <xdr:rowOff>26334</xdr:rowOff>
    </xdr:from>
    <xdr:to>
      <xdr:col>17</xdr:col>
      <xdr:colOff>84044</xdr:colOff>
      <xdr:row>31</xdr:row>
      <xdr:rowOff>70037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88264859-3999-DD26-5934-96D115F5697D}"/>
            </a:ext>
          </a:extLst>
        </xdr:cNvPr>
        <xdr:cNvGrpSpPr/>
      </xdr:nvGrpSpPr>
      <xdr:grpSpPr>
        <a:xfrm>
          <a:off x="1979851" y="2469704"/>
          <a:ext cx="9244302" cy="3663203"/>
          <a:chOff x="2003052" y="2533650"/>
          <a:chExt cx="9300438" cy="376965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690EE178-F343-3BB5-FB0E-628B4016A6FD}"/>
              </a:ext>
            </a:extLst>
          </xdr:cNvPr>
          <xdr:cNvGrpSpPr/>
        </xdr:nvGrpSpPr>
        <xdr:grpSpPr>
          <a:xfrm>
            <a:off x="2017283" y="2817158"/>
            <a:ext cx="9272219" cy="3486150"/>
            <a:chOff x="2143125" y="866775"/>
            <a:chExt cx="4354390" cy="280416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F07ECC9-BCFD-81FB-403A-0B10733B8906}"/>
                </a:ext>
              </a:extLst>
            </xdr:cNvPr>
            <xdr:cNvSpPr/>
          </xdr:nvSpPr>
          <xdr:spPr>
            <a:xfrm>
              <a:off x="2143125" y="866775"/>
              <a:ext cx="4354390" cy="2804160"/>
            </a:xfrm>
            <a:prstGeom prst="roundRect">
              <a:avLst>
                <a:gd name="adj" fmla="val 394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4B4311D-14B5-4A68-9CD1-D14EF5E2A1EC}"/>
                </a:ext>
              </a:extLst>
            </xdr:cNvPr>
            <xdr:cNvGraphicFramePr>
              <a:graphicFrameLocks/>
            </xdr:cNvGraphicFramePr>
          </xdr:nvGraphicFramePr>
          <xdr:xfrm>
            <a:off x="2175909" y="1070611"/>
            <a:ext cx="4269053" cy="22387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98616AE9-C44A-4171-B314-82B8DABC21E5}"/>
              </a:ext>
            </a:extLst>
          </xdr:cNvPr>
          <xdr:cNvSpPr/>
        </xdr:nvSpPr>
        <xdr:spPr>
          <a:xfrm>
            <a:off x="2003052" y="2533650"/>
            <a:ext cx="9300438" cy="49169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</xdr:txBody>
      </xdr:sp>
    </xdr:grpSp>
    <xdr:clientData/>
  </xdr:twoCellAnchor>
  <xdr:twoCellAnchor editAs="absolute">
    <xdr:from>
      <xdr:col>0</xdr:col>
      <xdr:colOff>518271</xdr:colOff>
      <xdr:row>1</xdr:row>
      <xdr:rowOff>117069</xdr:rowOff>
    </xdr:from>
    <xdr:to>
      <xdr:col>0</xdr:col>
      <xdr:colOff>1213596</xdr:colOff>
      <xdr:row>5</xdr:row>
      <xdr:rowOff>13975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D3F2CB3B-61A4-4209-9B85-C8055BB6489C}"/>
            </a:ext>
          </a:extLst>
        </xdr:cNvPr>
        <xdr:cNvSpPr/>
      </xdr:nvSpPr>
      <xdr:spPr>
        <a:xfrm>
          <a:off x="518271" y="313172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70037</xdr:colOff>
      <xdr:row>7</xdr:row>
      <xdr:rowOff>28014</xdr:rowOff>
    </xdr:from>
    <xdr:to>
      <xdr:col>0</xdr:col>
      <xdr:colOff>1736912</xdr:colOff>
      <xdr:row>7</xdr:row>
      <xdr:rowOff>266139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70A3A049-2949-CFEA-A97F-8CB7AED66655}"/>
            </a:ext>
          </a:extLst>
        </xdr:cNvPr>
        <xdr:cNvSpPr txBox="1"/>
      </xdr:nvSpPr>
      <xdr:spPr>
        <a:xfrm>
          <a:off x="70037" y="1288676"/>
          <a:ext cx="16668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Welcome, Liana</a:t>
          </a:r>
        </a:p>
      </xdr:txBody>
    </xdr:sp>
    <xdr:clientData/>
  </xdr:twoCellAnchor>
  <xdr:twoCellAnchor editAs="absolute">
    <xdr:from>
      <xdr:col>1</xdr:col>
      <xdr:colOff>37192</xdr:colOff>
      <xdr:row>2</xdr:row>
      <xdr:rowOff>270486</xdr:rowOff>
    </xdr:from>
    <xdr:to>
      <xdr:col>8</xdr:col>
      <xdr:colOff>538655</xdr:colOff>
      <xdr:row>5</xdr:row>
      <xdr:rowOff>9369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FF59B787-F1BB-4CD4-9969-739AF8579100}"/>
            </a:ext>
          </a:extLst>
        </xdr:cNvPr>
        <xdr:cNvSpPr txBox="1"/>
      </xdr:nvSpPr>
      <xdr:spPr>
        <a:xfrm>
          <a:off x="1915916" y="763158"/>
          <a:ext cx="4403429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800" b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</a:t>
          </a:r>
          <a:r>
            <a:rPr lang="pt-BR" sz="800" b="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period</a:t>
          </a:r>
          <a:r>
            <a:rPr lang="pt-BR" sz="800" b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01/01/2024 - 31/12/2024 | Update</a:t>
          </a:r>
          <a:r>
            <a:rPr lang="pt-BR" sz="800" b="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data: 25/12/2024 09:00:00</a:t>
          </a:r>
          <a:endParaRPr lang="pt-BR" sz="800" b="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C A BORGES" refreshedDate="46159.461403356479" createdVersion="8" refreshedVersion="8" minRefreshableVersion="3" recordCount="295" xr:uid="{D371DE36-6A1D-4919-A72A-354189F6F07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3">
        <s v="  "/>
        <s v="-"/>
        <n v="30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151339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2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2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2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2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2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2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2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2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2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2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2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2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2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2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2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2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2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2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2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2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2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2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2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2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2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2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2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2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2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2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2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2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2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2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2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2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2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2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2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2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2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2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2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2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2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2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2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2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2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2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2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2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2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2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2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2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2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2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2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2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2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2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2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2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2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2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2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2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2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2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2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2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2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2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2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2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2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2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2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2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2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2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2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2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2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2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2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2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2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2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2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2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2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2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2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2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2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EF8FE-16E5-4A4E-8C52-A5840F1D9617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8:C11" firstHeaderRow="1" firstDataRow="1" firstDataCol="1" rowPageCount="1" colPageCount="1"/>
  <pivotFields count="13">
    <pivotField showAll="0"/>
    <pivotField name="Name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9545C-159E-4F9C-A9C3-B3CBB100E5C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1:C35" firstHeaderRow="1" firstDataRow="1" firstDataCol="1" rowPageCount="1" colPageCount="1"/>
  <pivotFields count="13">
    <pivotField showAll="0"/>
    <pivotField name="Name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24260-7322-47CD-A7D3-FCE67F5F7403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4" firstHeaderRow="1" firstDataRow="1" firstDataCol="1" rowPageCount="1" colPageCount="1"/>
  <pivotFields count="13">
    <pivotField showAll="0"/>
    <pivotField name="Name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B516DAB-D5ED-4118-B313-8EF6F15A1B00}" sourceName="Subscription Type">
  <pivotTables>
    <pivotTable tabId="3" name="tbl_annual_total"/>
    <pivotTable tabId="3" name="tbl_easeasonpass_total"/>
    <pivotTable tabId="3" name="Tabela dinâmica3"/>
  </pivotTables>
  <data>
    <tabular pivotCacheId="111513390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EED8005-82C3-4C69-BF08-9EFDDA7A9C8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 t="s">
        <v>313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5"/>
  <sheetViews>
    <sheetView showGridLines="0" topLeftCell="A4" workbookViewId="0">
      <selection activeCell="E5" sqref="E5"/>
    </sheetView>
  </sheetViews>
  <sheetFormatPr defaultRowHeight="15" x14ac:dyDescent="0.25"/>
  <cols>
    <col min="1" max="1" width="17.140625" customWidth="1"/>
    <col min="2" max="2" width="18.42578125" bestFit="1" customWidth="1"/>
    <col min="3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s="15" t="s">
        <v>317</v>
      </c>
      <c r="C2" s="15"/>
    </row>
    <row r="3" spans="2:3" x14ac:dyDescent="0.25">
      <c r="B3" t="s">
        <v>318</v>
      </c>
    </row>
    <row r="6" spans="2:3" x14ac:dyDescent="0.25">
      <c r="B6" s="12" t="s">
        <v>16</v>
      </c>
      <c r="C6" t="s">
        <v>27</v>
      </c>
    </row>
    <row r="8" spans="2:3" x14ac:dyDescent="0.25">
      <c r="B8" s="12" t="s">
        <v>314</v>
      </c>
      <c r="C8" t="s">
        <v>316</v>
      </c>
    </row>
    <row r="9" spans="2:3" x14ac:dyDescent="0.25">
      <c r="B9" s="13" t="s">
        <v>23</v>
      </c>
      <c r="C9" s="14">
        <v>806</v>
      </c>
    </row>
    <row r="10" spans="2:3" x14ac:dyDescent="0.25">
      <c r="B10" s="13" t="s">
        <v>19</v>
      </c>
      <c r="C10" s="14">
        <v>1502</v>
      </c>
    </row>
    <row r="11" spans="2:3" x14ac:dyDescent="0.25">
      <c r="B11" s="13" t="s">
        <v>315</v>
      </c>
      <c r="C11" s="14">
        <v>2308</v>
      </c>
    </row>
    <row r="16" spans="2:3" x14ac:dyDescent="0.25">
      <c r="B16" t="s">
        <v>323</v>
      </c>
    </row>
    <row r="18" spans="2:6" x14ac:dyDescent="0.25">
      <c r="B18" s="12" t="s">
        <v>16</v>
      </c>
      <c r="C18" t="s">
        <v>27</v>
      </c>
    </row>
    <row r="20" spans="2:6" x14ac:dyDescent="0.25">
      <c r="B20" s="12" t="s">
        <v>314</v>
      </c>
      <c r="C20" t="s">
        <v>320</v>
      </c>
    </row>
    <row r="21" spans="2:6" x14ac:dyDescent="0.25">
      <c r="B21" s="13" t="s">
        <v>22</v>
      </c>
      <c r="C21">
        <v>0</v>
      </c>
    </row>
    <row r="22" spans="2:6" x14ac:dyDescent="0.25">
      <c r="B22" s="13" t="s">
        <v>26</v>
      </c>
      <c r="C22">
        <v>0</v>
      </c>
    </row>
    <row r="23" spans="2:6" x14ac:dyDescent="0.25">
      <c r="B23" s="13" t="s">
        <v>18</v>
      </c>
      <c r="C23">
        <v>990</v>
      </c>
    </row>
    <row r="24" spans="2:6" x14ac:dyDescent="0.25">
      <c r="B24" s="13" t="s">
        <v>315</v>
      </c>
      <c r="C24">
        <v>990</v>
      </c>
      <c r="F24" s="17">
        <f>GETPIVOTDATA("EA Play Season Pass
Price",$B$20)</f>
        <v>990</v>
      </c>
    </row>
    <row r="27" spans="2:6" x14ac:dyDescent="0.25">
      <c r="B27" t="s">
        <v>322</v>
      </c>
    </row>
    <row r="29" spans="2:6" x14ac:dyDescent="0.25">
      <c r="B29" s="12" t="s">
        <v>16</v>
      </c>
      <c r="C29" t="s">
        <v>27</v>
      </c>
    </row>
    <row r="31" spans="2:6" x14ac:dyDescent="0.25">
      <c r="B31" s="12" t="s">
        <v>314</v>
      </c>
      <c r="C31" t="s">
        <v>321</v>
      </c>
    </row>
    <row r="32" spans="2:6" x14ac:dyDescent="0.25">
      <c r="B32" s="13" t="s">
        <v>22</v>
      </c>
      <c r="C32" s="14">
        <v>0</v>
      </c>
    </row>
    <row r="33" spans="2:6" x14ac:dyDescent="0.25">
      <c r="B33" s="13" t="s">
        <v>26</v>
      </c>
      <c r="C33" s="14">
        <v>480</v>
      </c>
    </row>
    <row r="34" spans="2:6" x14ac:dyDescent="0.25">
      <c r="B34" s="13" t="s">
        <v>18</v>
      </c>
      <c r="C34" s="14">
        <v>660</v>
      </c>
      <c r="F34" s="17">
        <f>GETPIVOTDATA("Minecraft Season Pass Price",$B$31)</f>
        <v>1140</v>
      </c>
    </row>
    <row r="35" spans="2:6" x14ac:dyDescent="0.25">
      <c r="B35" s="13" t="s">
        <v>315</v>
      </c>
      <c r="C35" s="14"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228"/>
  <sheetViews>
    <sheetView showGridLines="0" showRowColHeaders="0" tabSelected="1" zoomScale="115" zoomScaleNormal="115" workbookViewId="0">
      <selection activeCell="A19" sqref="A19"/>
    </sheetView>
  </sheetViews>
  <sheetFormatPr defaultRowHeight="15" x14ac:dyDescent="0.25"/>
  <cols>
    <col min="1" max="1" width="28.140625" style="4" customWidth="1"/>
    <col min="2" max="2" width="3.5703125" customWidth="1"/>
    <col min="12" max="12" width="6.5703125" customWidth="1"/>
  </cols>
  <sheetData>
    <row r="2" spans="1:17" ht="24" customHeight="1" thickBot="1" x14ac:dyDescent="0.5">
      <c r="C2" s="18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3.25" customHeight="1" thickTop="1" x14ac:dyDescent="0.25"/>
    <row r="4" spans="1:17" s="7" customFormat="1" ht="8.25" customHeight="1" x14ac:dyDescent="0.25">
      <c r="A4" s="4"/>
    </row>
    <row r="5" spans="1:17" s="7" customFormat="1" ht="7.5" customHeight="1" x14ac:dyDescent="0.25">
      <c r="A5" s="4"/>
    </row>
    <row r="6" spans="1:17" s="7" customFormat="1" ht="10.5" customHeight="1" x14ac:dyDescent="0.25">
      <c r="A6" s="4"/>
    </row>
    <row r="7" spans="1:17" s="7" customFormat="1" ht="9.75" customHeight="1" x14ac:dyDescent="0.25">
      <c r="A7" s="4"/>
    </row>
    <row r="8" spans="1:17" s="7" customFormat="1" ht="33" customHeight="1" x14ac:dyDescent="0.25">
      <c r="A8" s="4"/>
    </row>
    <row r="9" spans="1:17" s="7" customFormat="1" x14ac:dyDescent="0.25">
      <c r="A9" s="4"/>
    </row>
    <row r="10" spans="1:17" s="7" customFormat="1" x14ac:dyDescent="0.25">
      <c r="A10" s="4"/>
    </row>
    <row r="11" spans="1:17" s="7" customFormat="1" x14ac:dyDescent="0.25">
      <c r="A11" s="4"/>
    </row>
    <row r="12" spans="1:17" s="7" customFormat="1" x14ac:dyDescent="0.25">
      <c r="A12" s="4"/>
    </row>
    <row r="13" spans="1:17" s="7" customFormat="1" x14ac:dyDescent="0.25">
      <c r="A13" s="4"/>
    </row>
    <row r="14" spans="1:17" s="7" customFormat="1" x14ac:dyDescent="0.25">
      <c r="A14" s="4"/>
    </row>
    <row r="15" spans="1:17" s="7" customFormat="1" x14ac:dyDescent="0.25">
      <c r="A15" s="4"/>
    </row>
    <row r="16" spans="1:1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Marcos Aurelio Albuquerque Borges</cp:lastModifiedBy>
  <dcterms:created xsi:type="dcterms:W3CDTF">2024-12-19T13:13:10Z</dcterms:created>
  <dcterms:modified xsi:type="dcterms:W3CDTF">2026-05-17T19:42:24Z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